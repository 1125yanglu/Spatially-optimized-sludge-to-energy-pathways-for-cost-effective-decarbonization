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ythonProject\Sludge\Forecast2060\"/>
    </mc:Choice>
  </mc:AlternateContent>
  <xr:revisionPtr revIDLastSave="0" documentId="13_ncr:1_{26FDBED4-3037-4217-A98E-585A4794B76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HLJ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" l="1"/>
  <c r="F22" i="1"/>
  <c r="F19" i="1"/>
  <c r="F17" i="1"/>
  <c r="F5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76" fontId="3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0" applyFill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3">
    <cellStyle name="常规" xfId="0" builtinId="0"/>
    <cellStyle name="常规 2" xfId="2" xr:uid="{503F3DB9-1A8C-413B-B924-06F91FDA4DCF}"/>
    <cellStyle name="常规 5" xfId="1" xr:uid="{11AA52D9-BB53-4D0C-97A2-89A306200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"/>
  <sheetViews>
    <sheetView workbookViewId="0">
      <selection activeCell="G41" sqref="G41"/>
    </sheetView>
  </sheetViews>
  <sheetFormatPr defaultRowHeight="14.25" x14ac:dyDescent="0.2"/>
  <sheetData>
    <row r="1" spans="1:19" ht="15.75" thickBot="1" x14ac:dyDescent="0.25">
      <c r="A1" s="1">
        <v>2005</v>
      </c>
      <c r="B1" s="1">
        <v>2006</v>
      </c>
      <c r="C1" s="1">
        <v>2007</v>
      </c>
      <c r="D1" s="1">
        <v>2008</v>
      </c>
      <c r="E1" s="1">
        <v>2009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</row>
    <row r="2" spans="1:19" ht="15" x14ac:dyDescent="0.25">
      <c r="A2" s="2">
        <v>1286.0999999999999</v>
      </c>
      <c r="B2" s="2">
        <v>1350.2</v>
      </c>
      <c r="C2" s="2">
        <v>1416.2</v>
      </c>
      <c r="D2" s="2">
        <v>1503.6</v>
      </c>
      <c r="E2" s="3">
        <v>1581.1</v>
      </c>
      <c r="F2" s="3">
        <v>1686.4</v>
      </c>
      <c r="G2" s="3">
        <v>1744.6</v>
      </c>
      <c r="H2" s="3">
        <v>1792.7</v>
      </c>
      <c r="I2" s="3">
        <v>1836.1</v>
      </c>
      <c r="J2" s="3">
        <v>1878</v>
      </c>
      <c r="K2" s="3">
        <v>1897.5</v>
      </c>
      <c r="L2" s="3">
        <v>1904.8</v>
      </c>
      <c r="M2" s="3">
        <v>1907.7</v>
      </c>
      <c r="N2" s="3">
        <v>1908.8</v>
      </c>
      <c r="O2" s="3">
        <v>1913.1</v>
      </c>
      <c r="P2" s="3">
        <v>1916.4</v>
      </c>
      <c r="Q2" s="3">
        <v>1916.1</v>
      </c>
      <c r="R2" s="3">
        <v>1912.8</v>
      </c>
      <c r="S2" s="3">
        <v>1919.8</v>
      </c>
    </row>
    <row r="3" spans="1:19" ht="15" x14ac:dyDescent="0.2">
      <c r="A3" s="2">
        <v>783.39729999999997</v>
      </c>
      <c r="B3" s="2">
        <v>814.09749999999997</v>
      </c>
      <c r="C3" s="2">
        <v>850.8565000000001</v>
      </c>
      <c r="D3" s="2">
        <v>908.22480000000007</v>
      </c>
      <c r="E3" s="2">
        <v>957.96280000000013</v>
      </c>
      <c r="F3" s="2">
        <v>1033.3544999999999</v>
      </c>
      <c r="G3" s="2">
        <v>1090.7750000000001</v>
      </c>
      <c r="H3" s="2">
        <v>1152.3015</v>
      </c>
      <c r="I3" s="2">
        <v>1207.1872000000001</v>
      </c>
      <c r="J3" s="2">
        <v>1179.6395</v>
      </c>
      <c r="K3" s="2">
        <v>1192.6432</v>
      </c>
      <c r="L3" s="2">
        <v>1201.5861</v>
      </c>
      <c r="M3" s="2">
        <v>1178.337</v>
      </c>
      <c r="N3" s="2">
        <v>1161.0285000000001</v>
      </c>
      <c r="O3" s="2">
        <v>1167.6935000000001</v>
      </c>
      <c r="P3" s="2">
        <v>1174.4509622999999</v>
      </c>
      <c r="Q3" s="2">
        <v>1165.4023999999999</v>
      </c>
      <c r="R3" s="2">
        <v>1160.0492999999999</v>
      </c>
      <c r="S3" s="2">
        <v>1166.0835999999999</v>
      </c>
    </row>
    <row r="4" spans="1:19" ht="15" x14ac:dyDescent="0.2">
      <c r="A4" s="2">
        <v>2580</v>
      </c>
      <c r="B4" s="2">
        <v>2651.5911999999998</v>
      </c>
      <c r="C4" s="2">
        <v>2795</v>
      </c>
      <c r="D4" s="2">
        <v>2928.3155799999995</v>
      </c>
      <c r="E4" s="4">
        <v>3024.7919999999999</v>
      </c>
      <c r="F4" s="4">
        <v>3161.13</v>
      </c>
      <c r="G4" s="4">
        <v>3302</v>
      </c>
      <c r="H4" s="4">
        <v>3410.5546799999997</v>
      </c>
      <c r="I4" s="4">
        <v>3528.4519319999999</v>
      </c>
      <c r="J4" s="4">
        <v>3642</v>
      </c>
      <c r="K4" s="4">
        <v>3811</v>
      </c>
      <c r="L4" s="4">
        <v>3983</v>
      </c>
      <c r="M4" s="4">
        <v>4136</v>
      </c>
      <c r="N4" s="4">
        <v>4264</v>
      </c>
      <c r="O4" s="4">
        <v>4374</v>
      </c>
      <c r="P4" s="4">
        <v>4483.6247999999996</v>
      </c>
      <c r="Q4" s="4">
        <v>4554</v>
      </c>
      <c r="R4" s="4">
        <v>4575</v>
      </c>
      <c r="S4" s="4">
        <v>4641</v>
      </c>
    </row>
    <row r="5" spans="1:19" ht="15" x14ac:dyDescent="0.2">
      <c r="A5" s="2">
        <v>1411.46</v>
      </c>
      <c r="B5" s="2">
        <v>1451.5875000000001</v>
      </c>
      <c r="C5" s="2">
        <v>1493.9379000000001</v>
      </c>
      <c r="D5" s="2">
        <v>1538.526171</v>
      </c>
      <c r="E5" s="4">
        <v>1576.2428640000001</v>
      </c>
      <c r="F5" s="4">
        <f>3574.1145*0.4805</f>
        <v>1717.36201725</v>
      </c>
      <c r="G5" s="4">
        <v>1785.0023999999999</v>
      </c>
      <c r="H5" s="4">
        <v>1850.911458</v>
      </c>
      <c r="I5" s="4">
        <v>1907.8228800000004</v>
      </c>
      <c r="J5" s="4">
        <v>1962</v>
      </c>
      <c r="K5" s="4">
        <v>2016</v>
      </c>
      <c r="L5" s="4">
        <v>2070</v>
      </c>
      <c r="M5" s="4">
        <v>2123</v>
      </c>
      <c r="N5" s="4">
        <v>2172</v>
      </c>
      <c r="O5" s="4">
        <v>2221</v>
      </c>
      <c r="P5" s="4">
        <v>2182.297</v>
      </c>
      <c r="Q5" s="4">
        <v>2207</v>
      </c>
      <c r="R5" s="4">
        <v>2226</v>
      </c>
      <c r="S5" s="4">
        <v>2252</v>
      </c>
    </row>
    <row r="6" spans="1:19" ht="15" x14ac:dyDescent="0.2">
      <c r="A6" s="2">
        <v>1126.2</v>
      </c>
      <c r="B6" s="2">
        <v>1165.9008000000001</v>
      </c>
      <c r="C6" s="2">
        <v>1206.1075000000001</v>
      </c>
      <c r="D6" s="2">
        <v>1248.1397830000001</v>
      </c>
      <c r="E6" s="4">
        <v>1293.3853799999999</v>
      </c>
      <c r="F6" s="4">
        <v>1372.9</v>
      </c>
      <c r="G6" s="4">
        <v>1405.144202</v>
      </c>
      <c r="H6" s="4">
        <v>1437.63939</v>
      </c>
      <c r="I6" s="4">
        <v>1466.3468310000003</v>
      </c>
      <c r="J6" s="4">
        <v>1491</v>
      </c>
      <c r="K6" s="4">
        <v>1514</v>
      </c>
      <c r="L6" s="4">
        <v>1542</v>
      </c>
      <c r="M6" s="4">
        <v>1568</v>
      </c>
      <c r="N6" s="4">
        <v>1589</v>
      </c>
      <c r="O6" s="4">
        <v>1609</v>
      </c>
      <c r="P6" s="4">
        <v>1621.5444</v>
      </c>
      <c r="Q6" s="4">
        <v>1637</v>
      </c>
      <c r="R6" s="4">
        <v>1647</v>
      </c>
      <c r="S6" s="4">
        <v>1667</v>
      </c>
    </row>
    <row r="7" spans="1:19" ht="15" x14ac:dyDescent="0.2">
      <c r="A7" s="2">
        <v>2477</v>
      </c>
      <c r="B7" s="2">
        <v>2519.4629</v>
      </c>
      <c r="C7" s="2">
        <v>2544.4160000000002</v>
      </c>
      <c r="D7" s="2">
        <v>2590.9773499999997</v>
      </c>
      <c r="E7" s="4">
        <v>2606.5164999999997</v>
      </c>
      <c r="F7" s="4">
        <v>2716.7928000000002</v>
      </c>
      <c r="G7" s="4">
        <v>2807.3114999999998</v>
      </c>
      <c r="H7" s="4">
        <v>2881.3785000000003</v>
      </c>
      <c r="I7" s="4">
        <v>2917.1550000000002</v>
      </c>
      <c r="J7" s="4">
        <v>2944</v>
      </c>
      <c r="K7" s="4">
        <v>2952</v>
      </c>
      <c r="L7" s="4">
        <v>2949</v>
      </c>
      <c r="M7" s="4">
        <v>2949</v>
      </c>
      <c r="N7" s="4">
        <v>2968</v>
      </c>
      <c r="O7" s="4">
        <v>2964</v>
      </c>
      <c r="P7" s="4">
        <v>3069.5570000000002</v>
      </c>
      <c r="Q7" s="4">
        <v>3079</v>
      </c>
      <c r="R7" s="4">
        <v>3064</v>
      </c>
      <c r="S7" s="4">
        <v>3074</v>
      </c>
    </row>
    <row r="8" spans="1:19" s="9" customFormat="1" ht="15" x14ac:dyDescent="0.2">
      <c r="A8" s="7">
        <v>1426.4432000000002</v>
      </c>
      <c r="B8" s="7">
        <v>1442.3731</v>
      </c>
      <c r="C8" s="7">
        <v>1451.2679999999998</v>
      </c>
      <c r="D8" s="7">
        <v>1454.7614000000001</v>
      </c>
      <c r="E8" s="7">
        <v>1460.9679999999998</v>
      </c>
      <c r="F8" s="7">
        <v>1465.5245000000002</v>
      </c>
      <c r="G8" s="7">
        <v>1467.9660000000001</v>
      </c>
      <c r="H8" s="7">
        <v>1476.75</v>
      </c>
      <c r="I8" s="7">
        <v>1491.0420000000001</v>
      </c>
      <c r="J8" s="7">
        <v>1500.9202000000002</v>
      </c>
      <c r="K8" s="7">
        <v>1506.1332</v>
      </c>
      <c r="L8" s="7">
        <v>1508.1125</v>
      </c>
      <c r="M8" s="7">
        <v>1508.2746</v>
      </c>
      <c r="N8" s="7">
        <v>1511.5139999999999</v>
      </c>
      <c r="O8" s="7">
        <v>1508.7024000000001</v>
      </c>
      <c r="P8" s="7">
        <v>1502.7336000000003</v>
      </c>
      <c r="Q8" s="7">
        <v>1504.8</v>
      </c>
      <c r="R8" s="7">
        <v>1496.1456000000001</v>
      </c>
      <c r="S8" s="7">
        <v>1514.0346999999999</v>
      </c>
    </row>
    <row r="9" spans="1:19" ht="15" x14ac:dyDescent="0.25">
      <c r="A9" s="10">
        <v>2028.4</v>
      </c>
      <c r="B9" s="10">
        <v>2045.3</v>
      </c>
      <c r="C9" s="10">
        <v>2061.1</v>
      </c>
      <c r="D9" s="10">
        <v>2119</v>
      </c>
      <c r="E9" s="10">
        <v>2123.4</v>
      </c>
      <c r="F9" s="10">
        <v>2129.6</v>
      </c>
      <c r="G9" s="10">
        <v>2136.5</v>
      </c>
      <c r="H9" s="10">
        <v>2118.1999999999998</v>
      </c>
      <c r="I9" s="10">
        <v>2127.6999999999998</v>
      </c>
      <c r="J9" s="10">
        <v>2136.6999999999998</v>
      </c>
      <c r="K9" s="10">
        <v>2134</v>
      </c>
      <c r="L9" s="10">
        <v>2115.5</v>
      </c>
      <c r="M9" s="10">
        <v>2104</v>
      </c>
      <c r="N9" s="10">
        <v>2111.3000000000002</v>
      </c>
      <c r="O9" s="10">
        <v>2103.4</v>
      </c>
      <c r="P9" s="10">
        <v>2080.5</v>
      </c>
      <c r="Q9" s="10">
        <v>2052.8000000000002</v>
      </c>
      <c r="R9" s="10">
        <v>2052</v>
      </c>
      <c r="S9" s="10">
        <v>2055</v>
      </c>
    </row>
    <row r="10" spans="1:19" s="9" customFormat="1" ht="15" x14ac:dyDescent="0.2">
      <c r="A10" s="7">
        <v>1684.0326339999999</v>
      </c>
      <c r="B10" s="7">
        <v>1742.1655700000001</v>
      </c>
      <c r="C10" s="7">
        <v>1830.39546</v>
      </c>
      <c r="D10" s="7">
        <v>1896.6159</v>
      </c>
      <c r="E10" s="7">
        <v>1958.3080800000002</v>
      </c>
      <c r="F10" s="7">
        <v>2056.2753799999996</v>
      </c>
      <c r="G10" s="7">
        <v>2103.4882899999998</v>
      </c>
      <c r="H10" s="7">
        <v>2141.8604999999998</v>
      </c>
      <c r="I10" s="7">
        <v>2193.7932799999999</v>
      </c>
      <c r="J10" s="7">
        <v>2203.0845799999997</v>
      </c>
      <c r="K10" s="7">
        <v>2175.7044270000001</v>
      </c>
      <c r="L10" s="7">
        <v>2195.9593</v>
      </c>
      <c r="M10" s="7">
        <v>2197.4554800000001</v>
      </c>
      <c r="N10" s="7">
        <v>2206.3151069999999</v>
      </c>
      <c r="O10" s="7">
        <v>2213.8515480000001</v>
      </c>
      <c r="P10" s="7">
        <v>2222.1054800000002</v>
      </c>
      <c r="Q10" s="7">
        <v>2223.0609899999999</v>
      </c>
      <c r="R10" s="7">
        <v>2214.9311939999998</v>
      </c>
      <c r="S10" s="7">
        <v>2225.2727699999996</v>
      </c>
    </row>
    <row r="11" spans="1:19" s="9" customFormat="1" ht="15" x14ac:dyDescent="0.2">
      <c r="A11" s="7">
        <v>3832.06</v>
      </c>
      <c r="B11" s="7">
        <v>3973.29</v>
      </c>
      <c r="C11" s="7">
        <v>4108.7</v>
      </c>
      <c r="D11" s="7">
        <v>4215.17</v>
      </c>
      <c r="E11" s="7">
        <v>4342.51</v>
      </c>
      <c r="F11" s="7">
        <v>4767.63</v>
      </c>
      <c r="G11" s="7">
        <v>4975.0600000000004</v>
      </c>
      <c r="H11" s="7">
        <v>5116.29</v>
      </c>
      <c r="I11" s="8">
        <v>5275.11</v>
      </c>
      <c r="J11" s="7">
        <v>5440.68</v>
      </c>
      <c r="K11" s="8">
        <v>5611.87</v>
      </c>
      <c r="L11" s="8">
        <v>5777.35</v>
      </c>
      <c r="M11" s="8">
        <v>5911.61</v>
      </c>
      <c r="N11" s="8">
        <v>6012.84</v>
      </c>
      <c r="O11" s="8">
        <v>6137.55</v>
      </c>
      <c r="P11" s="8">
        <v>6225.86</v>
      </c>
      <c r="Q11" s="8">
        <v>6288.89</v>
      </c>
      <c r="R11" s="8">
        <v>6337</v>
      </c>
      <c r="S11" s="8">
        <v>6398</v>
      </c>
    </row>
    <row r="12" spans="1:19" ht="15" x14ac:dyDescent="0.2">
      <c r="A12" s="2">
        <v>2578.102022</v>
      </c>
      <c r="B12" s="2">
        <v>2615.6279500000001</v>
      </c>
      <c r="C12" s="2">
        <v>2665.1424800000004</v>
      </c>
      <c r="D12" s="2">
        <v>2700.2016000000003</v>
      </c>
      <c r="E12" s="2">
        <v>2730.66822</v>
      </c>
      <c r="F12" s="2">
        <v>2925.6867900000002</v>
      </c>
      <c r="G12" s="2">
        <v>2978.7561300000002</v>
      </c>
      <c r="H12" s="2">
        <v>3033.1828799999998</v>
      </c>
      <c r="I12" s="2">
        <v>3089.2096000000001</v>
      </c>
      <c r="J12" s="2">
        <v>3156.5233279999998</v>
      </c>
      <c r="K12" s="2">
        <v>3231.9990879999996</v>
      </c>
      <c r="L12" s="2">
        <v>3325.6276200000007</v>
      </c>
      <c r="M12" s="2">
        <v>3416.3028330000002</v>
      </c>
      <c r="N12" s="2">
        <v>3500.887968</v>
      </c>
      <c r="O12" s="2">
        <v>3606.8517780000002</v>
      </c>
      <c r="P12" s="2">
        <v>3658.2972999999997</v>
      </c>
      <c r="Q12" s="2">
        <v>3702.5937479999998</v>
      </c>
      <c r="R12" s="2">
        <v>3750.0922379999997</v>
      </c>
      <c r="S12" s="2">
        <v>3800.9100349999999</v>
      </c>
    </row>
    <row r="13" spans="1:19" ht="15" x14ac:dyDescent="0.2">
      <c r="A13" s="2">
        <v>2170</v>
      </c>
      <c r="B13" s="2">
        <v>2266.81</v>
      </c>
      <c r="C13" s="2">
        <v>2367.6660000000002</v>
      </c>
      <c r="D13" s="2">
        <v>2484.6750000000002</v>
      </c>
      <c r="E13" s="2">
        <v>2581.1509999999998</v>
      </c>
      <c r="F13" s="2">
        <v>2559.1</v>
      </c>
      <c r="G13" s="2">
        <v>2673.6639999999998</v>
      </c>
      <c r="H13" s="2">
        <v>2784.42</v>
      </c>
      <c r="I13" s="4">
        <v>2885.8622799999998</v>
      </c>
      <c r="J13" s="2">
        <v>2990</v>
      </c>
      <c r="K13" s="4">
        <v>3103</v>
      </c>
      <c r="L13" s="4">
        <v>3221</v>
      </c>
      <c r="M13" s="4">
        <v>3346</v>
      </c>
      <c r="N13" s="4">
        <v>3459</v>
      </c>
      <c r="O13" s="4">
        <v>3553</v>
      </c>
      <c r="P13" s="4">
        <v>3561.0464999999995</v>
      </c>
      <c r="Q13" s="4">
        <v>3631</v>
      </c>
      <c r="R13" s="4">
        <v>3686</v>
      </c>
      <c r="S13" s="4">
        <v>3765</v>
      </c>
    </row>
    <row r="14" spans="1:19" ht="15" x14ac:dyDescent="0.2">
      <c r="A14" s="2">
        <v>1758</v>
      </c>
      <c r="B14" s="2">
        <v>1807</v>
      </c>
      <c r="C14" s="2">
        <v>1856</v>
      </c>
      <c r="D14" s="2">
        <v>1929</v>
      </c>
      <c r="E14" s="2">
        <v>2019</v>
      </c>
      <c r="F14" s="2">
        <v>2109</v>
      </c>
      <c r="G14" s="2">
        <v>2199</v>
      </c>
      <c r="H14" s="2">
        <v>2278</v>
      </c>
      <c r="I14" s="2">
        <v>2362</v>
      </c>
      <c r="J14" s="2">
        <v>2446</v>
      </c>
      <c r="K14" s="2">
        <v>2519</v>
      </c>
      <c r="L14" s="2">
        <v>2586</v>
      </c>
      <c r="M14" s="2">
        <v>2674</v>
      </c>
      <c r="N14" s="2">
        <v>2749</v>
      </c>
      <c r="O14" s="2">
        <v>2808</v>
      </c>
      <c r="P14" s="2">
        <v>2860.69</v>
      </c>
      <c r="Q14" s="2">
        <v>2918.34</v>
      </c>
      <c r="R14" s="2">
        <v>2937</v>
      </c>
      <c r="S14" s="2">
        <v>2972</v>
      </c>
    </row>
    <row r="15" spans="1:19" ht="15" x14ac:dyDescent="0.2">
      <c r="A15" s="2">
        <v>1593.46</v>
      </c>
      <c r="B15" s="2">
        <v>1678.3749811600001</v>
      </c>
      <c r="C15" s="2">
        <v>1738.4639999999999</v>
      </c>
      <c r="D15" s="2">
        <v>1819.84</v>
      </c>
      <c r="E15" s="2">
        <v>1913.8058675799998</v>
      </c>
      <c r="F15" s="2">
        <v>1963.6429000000001</v>
      </c>
      <c r="G15" s="2">
        <v>2051.2155719000002</v>
      </c>
      <c r="H15" s="2">
        <v>2139.8181407100001</v>
      </c>
      <c r="I15" s="4">
        <v>2209.9747049999996</v>
      </c>
      <c r="J15" s="2">
        <v>2281</v>
      </c>
      <c r="K15" s="4">
        <v>2357</v>
      </c>
      <c r="L15" s="4">
        <v>2438</v>
      </c>
      <c r="M15" s="4">
        <v>2524</v>
      </c>
      <c r="N15" s="4">
        <v>2604</v>
      </c>
      <c r="O15" s="4">
        <v>2679</v>
      </c>
      <c r="P15" s="4">
        <v>2731.2835999999998</v>
      </c>
      <c r="Q15" s="4">
        <v>2776</v>
      </c>
      <c r="R15" s="4">
        <v>2811</v>
      </c>
      <c r="S15" s="4">
        <v>2850</v>
      </c>
    </row>
    <row r="16" spans="1:19" ht="15" x14ac:dyDescent="0.2">
      <c r="A16" s="2">
        <v>4158</v>
      </c>
      <c r="B16" s="2">
        <v>4291.4490000000005</v>
      </c>
      <c r="C16" s="2">
        <v>4379.0725000000002</v>
      </c>
      <c r="D16" s="2">
        <v>4482.6014800000003</v>
      </c>
      <c r="E16" s="2">
        <v>4576.0489599999992</v>
      </c>
      <c r="F16" s="2">
        <v>4762.1072999999997</v>
      </c>
      <c r="G16" s="2">
        <v>4910.0515000000005</v>
      </c>
      <c r="H16" s="2">
        <v>5077.8297709999997</v>
      </c>
      <c r="I16" s="4">
        <v>5231.6971249999997</v>
      </c>
      <c r="J16" s="2">
        <v>5385</v>
      </c>
      <c r="K16" s="4">
        <v>5614</v>
      </c>
      <c r="L16" s="4">
        <v>5871</v>
      </c>
      <c r="M16" s="4">
        <v>6062</v>
      </c>
      <c r="N16" s="4">
        <v>6147</v>
      </c>
      <c r="O16" s="4">
        <v>6194</v>
      </c>
      <c r="P16" s="4">
        <v>6409.0325000000003</v>
      </c>
      <c r="Q16" s="4">
        <v>6503</v>
      </c>
      <c r="R16" s="4">
        <v>6559</v>
      </c>
      <c r="S16" s="4">
        <v>6634</v>
      </c>
    </row>
    <row r="17" spans="1:19" ht="15" x14ac:dyDescent="0.2">
      <c r="A17" s="2">
        <v>2872</v>
      </c>
      <c r="B17" s="2">
        <v>3049.5823999999998</v>
      </c>
      <c r="C17" s="2">
        <v>3214.2240000000002</v>
      </c>
      <c r="D17" s="2">
        <v>3397.2687000000001</v>
      </c>
      <c r="E17" s="2">
        <v>3577</v>
      </c>
      <c r="F17" s="2">
        <f>9405.4697*0.3882</f>
        <v>3651.2033375399997</v>
      </c>
      <c r="G17" s="2">
        <v>3808.7115999999996</v>
      </c>
      <c r="H17" s="2">
        <v>3990.9657999999999</v>
      </c>
      <c r="I17" s="4">
        <v>4123.0473000000002</v>
      </c>
      <c r="J17" s="2">
        <v>4265</v>
      </c>
      <c r="K17" s="4">
        <v>4441</v>
      </c>
      <c r="L17" s="4">
        <v>4623</v>
      </c>
      <c r="M17" s="4">
        <v>4795</v>
      </c>
      <c r="N17" s="4">
        <v>4967</v>
      </c>
      <c r="O17" s="4">
        <v>5129</v>
      </c>
      <c r="P17" s="4">
        <v>5510.2963</v>
      </c>
      <c r="Q17" s="4">
        <v>5579</v>
      </c>
      <c r="R17" s="4">
        <v>5633</v>
      </c>
      <c r="S17" s="4">
        <v>5701</v>
      </c>
    </row>
    <row r="18" spans="1:19" ht="15" x14ac:dyDescent="0.2">
      <c r="A18" s="2">
        <v>2465</v>
      </c>
      <c r="B18" s="2">
        <v>2493.5340000000001</v>
      </c>
      <c r="C18" s="2">
        <v>2524.6569999999997</v>
      </c>
      <c r="D18" s="2">
        <v>2581.3720000000003</v>
      </c>
      <c r="E18" s="2">
        <v>2631.2</v>
      </c>
      <c r="F18" s="2">
        <v>2846.13</v>
      </c>
      <c r="G18" s="2">
        <v>2984.1122499999997</v>
      </c>
      <c r="H18" s="2">
        <v>3091.7649999999999</v>
      </c>
      <c r="I18" s="4">
        <v>3161.0349000000001</v>
      </c>
      <c r="J18" s="2">
        <v>3238</v>
      </c>
      <c r="K18" s="4">
        <v>3327</v>
      </c>
      <c r="L18" s="4">
        <v>3419</v>
      </c>
      <c r="M18" s="4">
        <v>3500</v>
      </c>
      <c r="N18" s="4">
        <v>3568</v>
      </c>
      <c r="O18" s="4">
        <v>3615</v>
      </c>
      <c r="P18" s="4">
        <v>3613.0304999999998</v>
      </c>
      <c r="Q18" s="4">
        <v>3736</v>
      </c>
      <c r="R18" s="4">
        <v>3779</v>
      </c>
      <c r="S18" s="4">
        <v>3822</v>
      </c>
    </row>
    <row r="19" spans="1:19" ht="15" x14ac:dyDescent="0.2">
      <c r="A19" s="2">
        <v>2338</v>
      </c>
      <c r="B19" s="2">
        <v>2454.9882000000002</v>
      </c>
      <c r="C19" s="2">
        <v>2570.5975000000003</v>
      </c>
      <c r="D19" s="2">
        <v>2689.17</v>
      </c>
      <c r="E19" s="2">
        <v>2767.3920000000003</v>
      </c>
      <c r="F19" s="2">
        <f>6570.1*0.433</f>
        <v>2844.8533000000002</v>
      </c>
      <c r="G19" s="2">
        <v>2974.6156000000001</v>
      </c>
      <c r="H19" s="2">
        <v>3097.060845</v>
      </c>
      <c r="I19" s="4">
        <v>3208.8117600000005</v>
      </c>
      <c r="J19" s="2">
        <v>3320</v>
      </c>
      <c r="K19" s="4">
        <v>3452</v>
      </c>
      <c r="L19" s="4">
        <v>3599</v>
      </c>
      <c r="M19" s="4">
        <v>3747</v>
      </c>
      <c r="N19" s="4">
        <v>3865</v>
      </c>
      <c r="O19" s="4">
        <v>3959</v>
      </c>
      <c r="P19" s="4">
        <v>3904.6020000000003</v>
      </c>
      <c r="Q19" s="4">
        <v>3954</v>
      </c>
      <c r="R19" s="4">
        <v>3983</v>
      </c>
      <c r="S19" s="4">
        <v>4017</v>
      </c>
    </row>
    <row r="20" spans="1:19" s="9" customFormat="1" ht="15" x14ac:dyDescent="0.2">
      <c r="A20" s="7">
        <v>5578.92</v>
      </c>
      <c r="B20" s="7">
        <v>5948.5</v>
      </c>
      <c r="C20" s="7">
        <v>6099.02</v>
      </c>
      <c r="D20" s="7">
        <v>6269.5</v>
      </c>
      <c r="E20" s="7">
        <v>6422.54</v>
      </c>
      <c r="F20" s="7">
        <v>6909.85</v>
      </c>
      <c r="G20" s="7">
        <v>7160.27</v>
      </c>
      <c r="H20" s="7">
        <v>7414.03</v>
      </c>
      <c r="I20" s="8">
        <v>7673.74</v>
      </c>
      <c r="J20" s="7">
        <v>7883.75</v>
      </c>
      <c r="K20" s="8">
        <v>8117.38</v>
      </c>
      <c r="L20" s="8">
        <v>8353.4599999999991</v>
      </c>
      <c r="M20" s="8">
        <v>8588.5400000000009</v>
      </c>
      <c r="N20" s="8">
        <v>8867.1</v>
      </c>
      <c r="O20" s="8">
        <v>9073.26</v>
      </c>
      <c r="P20" s="8">
        <v>9360.7000000000007</v>
      </c>
      <c r="Q20" s="8">
        <v>9466.07</v>
      </c>
      <c r="R20" s="8">
        <v>9465.4</v>
      </c>
      <c r="S20" s="8">
        <v>9583</v>
      </c>
    </row>
    <row r="21" spans="1:19" ht="15" x14ac:dyDescent="0.2">
      <c r="A21" s="4">
        <v>1567</v>
      </c>
      <c r="B21" s="4">
        <v>1635</v>
      </c>
      <c r="C21" s="4">
        <v>1728</v>
      </c>
      <c r="D21" s="4">
        <v>1838</v>
      </c>
      <c r="E21" s="4">
        <v>1904</v>
      </c>
      <c r="F21" s="4">
        <v>1845</v>
      </c>
      <c r="G21" s="4">
        <v>1950</v>
      </c>
      <c r="H21" s="4">
        <v>2041</v>
      </c>
      <c r="I21" s="4">
        <v>2134</v>
      </c>
      <c r="J21" s="4">
        <v>2220</v>
      </c>
      <c r="K21" s="4">
        <v>2309</v>
      </c>
      <c r="L21" s="4">
        <v>2392</v>
      </c>
      <c r="M21" s="4">
        <v>2482</v>
      </c>
      <c r="N21" s="4">
        <v>2564</v>
      </c>
      <c r="O21" s="4">
        <v>2639</v>
      </c>
      <c r="P21" s="4">
        <v>2721</v>
      </c>
      <c r="Q21" s="4">
        <v>2775</v>
      </c>
      <c r="R21" s="4">
        <v>2809</v>
      </c>
      <c r="S21" s="4">
        <v>2854</v>
      </c>
    </row>
    <row r="22" spans="1:19" ht="15" x14ac:dyDescent="0.2">
      <c r="A22" s="2">
        <v>373.49</v>
      </c>
      <c r="B22" s="2">
        <v>385.39599999999996</v>
      </c>
      <c r="C22" s="2">
        <v>398.84</v>
      </c>
      <c r="D22" s="2">
        <v>409.92</v>
      </c>
      <c r="E22" s="2">
        <v>424</v>
      </c>
      <c r="F22" s="5">
        <f>868.5512*0.4981</f>
        <v>432.62535271999997</v>
      </c>
      <c r="G22" s="2">
        <v>443.05669999999998</v>
      </c>
      <c r="H22" s="2">
        <v>457.45979999999997</v>
      </c>
      <c r="I22" s="4">
        <v>472.17067199999997</v>
      </c>
      <c r="J22" s="2">
        <v>486</v>
      </c>
      <c r="K22" s="4">
        <v>502</v>
      </c>
      <c r="L22" s="4">
        <v>521</v>
      </c>
      <c r="M22" s="4">
        <v>537</v>
      </c>
      <c r="N22" s="4">
        <v>552</v>
      </c>
      <c r="O22" s="4">
        <v>560</v>
      </c>
      <c r="P22" s="4">
        <v>609.93240000000003</v>
      </c>
      <c r="Q22" s="4">
        <v>622</v>
      </c>
      <c r="R22" s="4">
        <v>631</v>
      </c>
      <c r="S22" s="4">
        <v>651</v>
      </c>
    </row>
    <row r="23" spans="1:19" ht="15" x14ac:dyDescent="0.2">
      <c r="A23" s="2">
        <v>1264</v>
      </c>
      <c r="B23" s="2">
        <v>1311.336</v>
      </c>
      <c r="C23" s="2">
        <v>1361.2544</v>
      </c>
      <c r="D23" s="2">
        <v>1419.2161000000001</v>
      </c>
      <c r="E23" s="2">
        <v>1474.9581000000001</v>
      </c>
      <c r="F23" s="2">
        <v>1529.55</v>
      </c>
      <c r="G23" s="2">
        <v>1606.0338000000002</v>
      </c>
      <c r="H23" s="2">
        <v>1678.0609999999997</v>
      </c>
      <c r="I23" s="4">
        <v>1732.6980000000001</v>
      </c>
      <c r="J23" s="2">
        <v>1783</v>
      </c>
      <c r="K23" s="4">
        <v>1838</v>
      </c>
      <c r="L23" s="4">
        <v>1908</v>
      </c>
      <c r="M23" s="4">
        <v>1971</v>
      </c>
      <c r="N23" s="4">
        <v>2032</v>
      </c>
      <c r="O23" s="4">
        <v>2087</v>
      </c>
      <c r="P23" s="4">
        <v>2228.9713999999999</v>
      </c>
      <c r="Q23" s="4">
        <v>2259</v>
      </c>
      <c r="R23" s="4">
        <v>2280</v>
      </c>
      <c r="S23" s="4">
        <v>2287</v>
      </c>
    </row>
    <row r="24" spans="1:19" ht="15" x14ac:dyDescent="0.2">
      <c r="A24" s="2">
        <v>2709</v>
      </c>
      <c r="B24" s="2">
        <v>2801.9669999999996</v>
      </c>
      <c r="C24" s="2">
        <v>2893.212</v>
      </c>
      <c r="D24" s="2">
        <v>3043.6120000000001</v>
      </c>
      <c r="E24" s="2">
        <v>3167.5949999999998</v>
      </c>
      <c r="F24" s="2">
        <v>3231.2033000000001</v>
      </c>
      <c r="G24" s="2">
        <v>3367.3150000000001</v>
      </c>
      <c r="H24" s="2">
        <v>3515.5698599999996</v>
      </c>
      <c r="I24" s="4">
        <v>3640.0429999999997</v>
      </c>
      <c r="J24" s="2">
        <v>3769</v>
      </c>
      <c r="K24" s="4">
        <v>3913</v>
      </c>
      <c r="L24" s="4">
        <v>4066</v>
      </c>
      <c r="M24" s="4">
        <v>4217</v>
      </c>
      <c r="N24" s="4">
        <v>4362</v>
      </c>
      <c r="O24" s="4">
        <v>4505</v>
      </c>
      <c r="P24" s="4">
        <v>4748.8682999999992</v>
      </c>
      <c r="Q24" s="4">
        <v>4841</v>
      </c>
      <c r="R24" s="4">
        <v>4886</v>
      </c>
      <c r="S24" s="4">
        <v>4978</v>
      </c>
    </row>
    <row r="25" spans="1:19" s="9" customFormat="1" ht="15" x14ac:dyDescent="0.2">
      <c r="A25" s="7">
        <v>1002.25</v>
      </c>
      <c r="B25" s="7">
        <v>1013.27</v>
      </c>
      <c r="C25" s="7">
        <v>1025.68</v>
      </c>
      <c r="D25" s="7">
        <v>1046.79</v>
      </c>
      <c r="E25" s="7">
        <v>1057.21</v>
      </c>
      <c r="F25" s="7">
        <v>1176.25</v>
      </c>
      <c r="G25" s="7">
        <v>1236.559</v>
      </c>
      <c r="H25" s="7">
        <v>1302.0809999999999</v>
      </c>
      <c r="I25" s="7">
        <v>1376.1648</v>
      </c>
      <c r="J25" s="7">
        <v>1479.6248000000001</v>
      </c>
      <c r="K25" s="7">
        <v>1592.9567999999999</v>
      </c>
      <c r="L25" s="7">
        <v>1712.1448</v>
      </c>
      <c r="M25" s="7">
        <v>1816.3127999999999</v>
      </c>
      <c r="N25" s="7">
        <v>1893.4187999999999</v>
      </c>
      <c r="O25" s="7">
        <v>1980.9503999999999</v>
      </c>
      <c r="P25" s="7">
        <v>2050.527</v>
      </c>
      <c r="Q25" s="7">
        <v>2092.79</v>
      </c>
      <c r="R25" s="7">
        <v>2114</v>
      </c>
      <c r="S25" s="7">
        <v>2162</v>
      </c>
    </row>
    <row r="26" spans="1:19" ht="15" x14ac:dyDescent="0.2">
      <c r="A26" s="2">
        <v>1310.52</v>
      </c>
      <c r="B26" s="2">
        <v>1367.3150000000001</v>
      </c>
      <c r="C26" s="2">
        <v>1426.424</v>
      </c>
      <c r="D26" s="2">
        <v>1499.19</v>
      </c>
      <c r="E26" s="2">
        <v>1554.14</v>
      </c>
      <c r="F26" s="2">
        <v>1601.8</v>
      </c>
      <c r="G26" s="2">
        <v>1704.1343999999999</v>
      </c>
      <c r="H26" s="2">
        <v>1831.4529</v>
      </c>
      <c r="I26" s="4">
        <v>1897.1356800000001</v>
      </c>
      <c r="J26" s="2">
        <v>1967</v>
      </c>
      <c r="K26" s="4">
        <v>2055</v>
      </c>
      <c r="L26" s="4">
        <v>2148</v>
      </c>
      <c r="M26" s="4">
        <v>2241</v>
      </c>
      <c r="N26" s="4">
        <v>2309</v>
      </c>
      <c r="O26" s="4">
        <v>2376</v>
      </c>
      <c r="P26" s="4">
        <v>2363.3609999999999</v>
      </c>
      <c r="Q26" s="4">
        <v>2394</v>
      </c>
      <c r="R26" s="4">
        <v>2427</v>
      </c>
      <c r="S26" s="4">
        <v>2473</v>
      </c>
    </row>
    <row r="27" spans="1:19" s="9" customFormat="1" ht="15" x14ac:dyDescent="0.2">
      <c r="A27" s="7">
        <v>58.38</v>
      </c>
      <c r="B27" s="7">
        <v>60.220499999999994</v>
      </c>
      <c r="C27" s="7">
        <v>62.134999999999998</v>
      </c>
      <c r="D27" s="7">
        <v>63.947999999999993</v>
      </c>
      <c r="E27" s="7">
        <v>66.007999999999996</v>
      </c>
      <c r="F27" s="7">
        <v>68.010000000000005</v>
      </c>
      <c r="G27" s="7">
        <v>68.811300000000003</v>
      </c>
      <c r="H27" s="7">
        <v>70.069999999999993</v>
      </c>
      <c r="I27" s="7">
        <v>73.975200000000001</v>
      </c>
      <c r="J27" s="7">
        <v>85.247500000000002</v>
      </c>
      <c r="K27" s="7">
        <v>95.271000000000001</v>
      </c>
      <c r="L27" s="7">
        <v>107.33799999999999</v>
      </c>
      <c r="M27" s="7">
        <v>116.4962</v>
      </c>
      <c r="N27" s="7">
        <v>119.65199999999999</v>
      </c>
      <c r="O27" s="7">
        <v>124.58109999999999</v>
      </c>
      <c r="P27" s="7">
        <v>130.77179999999998</v>
      </c>
      <c r="Q27" s="7">
        <v>133.99260000000001</v>
      </c>
      <c r="R27" s="7">
        <v>136.09960000000001</v>
      </c>
      <c r="S27" s="7">
        <v>141.91200000000001</v>
      </c>
    </row>
    <row r="28" spans="1:19" ht="15" x14ac:dyDescent="0.2">
      <c r="A28" s="2">
        <v>1384</v>
      </c>
      <c r="B28" s="2">
        <v>1461.1319999999998</v>
      </c>
      <c r="C28" s="2">
        <v>1522.4375999999997</v>
      </c>
      <c r="D28" s="2">
        <v>1583.8020000000001</v>
      </c>
      <c r="E28" s="2">
        <v>1640.82</v>
      </c>
      <c r="F28" s="2">
        <v>1707</v>
      </c>
      <c r="G28" s="2">
        <v>1770.2497999999998</v>
      </c>
      <c r="H28" s="2">
        <v>1877.3209402439118</v>
      </c>
      <c r="I28" s="4">
        <v>1931.3337958541053</v>
      </c>
      <c r="J28" s="2">
        <v>1985</v>
      </c>
      <c r="K28" s="4">
        <v>2045</v>
      </c>
      <c r="L28" s="4">
        <v>2110</v>
      </c>
      <c r="M28" s="4">
        <v>2178</v>
      </c>
      <c r="N28" s="4">
        <v>2246</v>
      </c>
      <c r="O28" s="4">
        <v>2304</v>
      </c>
      <c r="P28" s="4">
        <v>2478.203</v>
      </c>
      <c r="Q28" s="4">
        <v>2516</v>
      </c>
      <c r="R28" s="4">
        <v>2532</v>
      </c>
      <c r="S28" s="4">
        <v>2575</v>
      </c>
    </row>
    <row r="29" spans="1:19" ht="15" x14ac:dyDescent="0.2">
      <c r="A29" s="2">
        <v>778.03</v>
      </c>
      <c r="B29" s="2">
        <v>810.20539999999994</v>
      </c>
      <c r="C29" s="2">
        <v>826.71029999999996</v>
      </c>
      <c r="D29" s="2">
        <v>844.94057999999995</v>
      </c>
      <c r="E29" s="2">
        <v>860.47769000000005</v>
      </c>
      <c r="F29" s="5">
        <f>2559.98*0.3612</f>
        <v>924.66477600000007</v>
      </c>
      <c r="G29" s="2">
        <v>952.596585</v>
      </c>
      <c r="H29" s="2">
        <v>998.80062499999997</v>
      </c>
      <c r="I29" s="4">
        <v>1036.228834</v>
      </c>
      <c r="J29" s="2">
        <v>1080</v>
      </c>
      <c r="K29" s="4">
        <v>1123</v>
      </c>
      <c r="L29" s="4">
        <v>1166</v>
      </c>
      <c r="M29" s="4">
        <v>1218</v>
      </c>
      <c r="N29" s="4">
        <v>1258</v>
      </c>
      <c r="O29" s="4">
        <v>1284</v>
      </c>
      <c r="P29" s="4">
        <v>1306.2722999999999</v>
      </c>
      <c r="Q29" s="4">
        <v>1328</v>
      </c>
      <c r="R29" s="4">
        <v>1351</v>
      </c>
      <c r="S29" s="4">
        <v>1368</v>
      </c>
    </row>
    <row r="30" spans="1:19" ht="15" x14ac:dyDescent="0.2">
      <c r="A30" s="2">
        <v>212.9</v>
      </c>
      <c r="B30" s="2">
        <v>215.1448</v>
      </c>
      <c r="C30" s="2">
        <v>221.18639999999999</v>
      </c>
      <c r="D30" s="2">
        <v>227</v>
      </c>
      <c r="E30" s="2">
        <v>233</v>
      </c>
      <c r="F30" s="2">
        <v>251.6258</v>
      </c>
      <c r="G30" s="2">
        <v>262.60817399999996</v>
      </c>
      <c r="H30" s="2">
        <v>271.91184799999996</v>
      </c>
      <c r="I30" s="4">
        <v>280.28592899999995</v>
      </c>
      <c r="J30" s="2">
        <v>290</v>
      </c>
      <c r="K30" s="4">
        <v>296</v>
      </c>
      <c r="L30" s="4">
        <v>306</v>
      </c>
      <c r="M30" s="4">
        <v>317</v>
      </c>
      <c r="N30" s="4">
        <v>328</v>
      </c>
      <c r="O30" s="4">
        <v>337</v>
      </c>
      <c r="P30" s="4">
        <v>356.27440000000001</v>
      </c>
      <c r="Q30" s="4">
        <v>362</v>
      </c>
      <c r="R30" s="4">
        <v>366</v>
      </c>
      <c r="S30" s="4">
        <v>373</v>
      </c>
    </row>
    <row r="31" spans="1:19" ht="15" x14ac:dyDescent="0.2">
      <c r="A31" s="2">
        <v>252.0746</v>
      </c>
      <c r="B31" s="2">
        <v>259.36259999999999</v>
      </c>
      <c r="C31" s="2">
        <v>268.65530000000001</v>
      </c>
      <c r="D31" s="2">
        <v>277.82299999999998</v>
      </c>
      <c r="E31" s="2">
        <v>288.20929999999998</v>
      </c>
      <c r="F31" s="2">
        <v>303.5652</v>
      </c>
      <c r="G31" s="2">
        <v>325.27069999999998</v>
      </c>
      <c r="H31" s="2">
        <v>337.14400000000001</v>
      </c>
      <c r="I31" s="2">
        <v>352.11200000000002</v>
      </c>
      <c r="J31" s="2">
        <v>371.74310000000003</v>
      </c>
      <c r="K31" s="2">
        <v>389.4939</v>
      </c>
      <c r="L31" s="2">
        <v>408.01589999999999</v>
      </c>
      <c r="M31" s="2">
        <v>429.74529999999999</v>
      </c>
      <c r="N31" s="2">
        <v>440.97640000000001</v>
      </c>
      <c r="O31" s="2">
        <v>456.18419999999998</v>
      </c>
      <c r="P31" s="2">
        <v>468.30189999999999</v>
      </c>
      <c r="Q31" s="2">
        <v>478.8</v>
      </c>
      <c r="R31" s="2">
        <v>483</v>
      </c>
      <c r="S31" s="4">
        <v>491</v>
      </c>
    </row>
    <row r="32" spans="1:19" ht="15" x14ac:dyDescent="0.2">
      <c r="A32" s="2">
        <v>746.02772500000003</v>
      </c>
      <c r="B32" s="2">
        <v>777.77</v>
      </c>
      <c r="C32" s="2">
        <v>820.1925</v>
      </c>
      <c r="D32" s="2">
        <v>844.64912000000015</v>
      </c>
      <c r="E32" s="2">
        <v>860.21405500000003</v>
      </c>
      <c r="F32" s="2">
        <v>939.81581099999994</v>
      </c>
      <c r="G32" s="2">
        <v>961.67233399999998</v>
      </c>
      <c r="H32" s="2">
        <v>981.97664400000008</v>
      </c>
      <c r="I32" s="2">
        <v>1006.93421</v>
      </c>
      <c r="J32" s="2">
        <v>1075.2341999999999</v>
      </c>
      <c r="K32" s="2">
        <v>1151.2080000000001</v>
      </c>
      <c r="L32" s="2">
        <v>1209.0716</v>
      </c>
      <c r="M32" s="2">
        <v>1268.9549999999999</v>
      </c>
      <c r="N32" s="2">
        <v>1343.2286999999999</v>
      </c>
      <c r="O32" s="2">
        <v>1400.5172999999998</v>
      </c>
      <c r="P32" s="2">
        <v>1464.1270000000002</v>
      </c>
      <c r="Q32" s="2">
        <v>1482.4613999999999</v>
      </c>
      <c r="R32" s="2">
        <v>1497.6143</v>
      </c>
      <c r="S32" s="2">
        <v>1539.0552000000002</v>
      </c>
    </row>
    <row r="43" spans="1:1" x14ac:dyDescent="0.2">
      <c r="A43" s="9"/>
    </row>
    <row r="45" spans="1:1" x14ac:dyDescent="0.2">
      <c r="A45" s="9"/>
    </row>
    <row r="46" spans="1:1" x14ac:dyDescent="0.2">
      <c r="A46" s="9"/>
    </row>
    <row r="55" spans="1:1" x14ac:dyDescent="0.2">
      <c r="A55" s="9"/>
    </row>
    <row r="60" spans="1:1" x14ac:dyDescent="0.2">
      <c r="A60" s="9"/>
    </row>
    <row r="62" spans="1:1" x14ac:dyDescent="0.2">
      <c r="A62" s="9"/>
    </row>
    <row r="101" spans="2:2" x14ac:dyDescent="0.2">
      <c r="B101" s="6"/>
    </row>
    <row r="102" spans="2:2" x14ac:dyDescent="0.2">
      <c r="B102" s="6"/>
    </row>
    <row r="103" spans="2:2" x14ac:dyDescent="0.2">
      <c r="B103" s="6"/>
    </row>
    <row r="104" spans="2:2" x14ac:dyDescent="0.2">
      <c r="B104" s="6"/>
    </row>
    <row r="105" spans="2:2" x14ac:dyDescent="0.2">
      <c r="B105" s="6"/>
    </row>
    <row r="106" spans="2:2" x14ac:dyDescent="0.2">
      <c r="B106" s="6"/>
    </row>
    <row r="107" spans="2:2" x14ac:dyDescent="0.2">
      <c r="B107" s="6"/>
    </row>
    <row r="108" spans="2:2" x14ac:dyDescent="0.2">
      <c r="B108" s="6"/>
    </row>
    <row r="109" spans="2:2" x14ac:dyDescent="0.2">
      <c r="B109" s="6"/>
    </row>
    <row r="110" spans="2:2" x14ac:dyDescent="0.2">
      <c r="B110" s="6"/>
    </row>
    <row r="111" spans="2:2" x14ac:dyDescent="0.2">
      <c r="B111" s="6"/>
    </row>
    <row r="112" spans="2:2" x14ac:dyDescent="0.2">
      <c r="B112" s="6"/>
    </row>
    <row r="113" spans="2:2" x14ac:dyDescent="0.2">
      <c r="B113" s="6"/>
    </row>
    <row r="114" spans="2:2" x14ac:dyDescent="0.2">
      <c r="B114" s="6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CC24-9A9E-4532-A20C-012D5E65F53B}">
  <dimension ref="A1:BS2"/>
  <sheetViews>
    <sheetView tabSelected="1" workbookViewId="0">
      <selection activeCell="N25" sqref="N25"/>
    </sheetView>
  </sheetViews>
  <sheetFormatPr defaultRowHeight="15" x14ac:dyDescent="0.25"/>
  <cols>
    <col min="1" max="16384" width="9" style="10"/>
  </cols>
  <sheetData>
    <row r="1" spans="1:71" x14ac:dyDescent="0.25">
      <c r="A1" s="10">
        <v>1953</v>
      </c>
      <c r="B1" s="10">
        <v>1954</v>
      </c>
      <c r="C1" s="10">
        <v>1955</v>
      </c>
      <c r="D1" s="10">
        <v>1956</v>
      </c>
      <c r="E1" s="10">
        <v>1957</v>
      </c>
      <c r="F1" s="10">
        <v>1958</v>
      </c>
      <c r="G1" s="10">
        <v>1959</v>
      </c>
      <c r="H1" s="10">
        <v>1960</v>
      </c>
      <c r="I1" s="10">
        <v>1961</v>
      </c>
      <c r="J1" s="10">
        <v>1962</v>
      </c>
      <c r="K1" s="10">
        <v>1963</v>
      </c>
      <c r="L1" s="10">
        <v>1964</v>
      </c>
      <c r="M1" s="10">
        <v>1965</v>
      </c>
      <c r="N1" s="10">
        <v>1966</v>
      </c>
      <c r="O1" s="10">
        <v>1967</v>
      </c>
      <c r="P1" s="10">
        <v>1968</v>
      </c>
      <c r="Q1" s="10">
        <v>1969</v>
      </c>
      <c r="R1" s="10">
        <v>1970</v>
      </c>
      <c r="S1" s="10">
        <v>1971</v>
      </c>
      <c r="T1" s="10">
        <v>1972</v>
      </c>
      <c r="U1" s="10">
        <v>1973</v>
      </c>
      <c r="V1" s="10">
        <v>1974</v>
      </c>
      <c r="W1" s="10">
        <v>1975</v>
      </c>
      <c r="X1" s="10">
        <v>1976</v>
      </c>
      <c r="Y1" s="10">
        <v>1977</v>
      </c>
      <c r="Z1" s="10">
        <v>1978</v>
      </c>
      <c r="AA1" s="10">
        <v>1979</v>
      </c>
      <c r="AB1" s="10">
        <v>1980</v>
      </c>
      <c r="AC1" s="10">
        <v>1981</v>
      </c>
      <c r="AD1" s="10">
        <v>1982</v>
      </c>
      <c r="AE1" s="10">
        <v>1983</v>
      </c>
      <c r="AF1" s="10">
        <v>1984</v>
      </c>
      <c r="AG1" s="10">
        <v>1985</v>
      </c>
      <c r="AH1" s="10">
        <v>1986</v>
      </c>
      <c r="AI1" s="10">
        <v>1987</v>
      </c>
      <c r="AJ1" s="10">
        <v>1988</v>
      </c>
      <c r="AK1" s="10">
        <v>1989</v>
      </c>
      <c r="AL1" s="10">
        <v>1990</v>
      </c>
      <c r="AM1" s="10">
        <v>1991</v>
      </c>
      <c r="AN1" s="10">
        <v>1992</v>
      </c>
      <c r="AO1" s="10">
        <v>1993</v>
      </c>
      <c r="AP1" s="10">
        <v>1994</v>
      </c>
      <c r="AQ1" s="10">
        <v>1995</v>
      </c>
      <c r="AR1" s="10">
        <v>1996</v>
      </c>
      <c r="AS1" s="10">
        <v>1997</v>
      </c>
      <c r="AT1" s="10">
        <v>1998</v>
      </c>
      <c r="AU1" s="10">
        <v>1999</v>
      </c>
      <c r="AV1" s="10">
        <v>2000</v>
      </c>
      <c r="AW1" s="10">
        <v>2001</v>
      </c>
      <c r="AX1" s="10">
        <v>2002</v>
      </c>
      <c r="AY1" s="10">
        <v>2003</v>
      </c>
      <c r="AZ1" s="10">
        <v>2004</v>
      </c>
      <c r="BA1" s="10">
        <v>2005</v>
      </c>
      <c r="BB1" s="10">
        <v>2006</v>
      </c>
      <c r="BC1" s="10">
        <v>2007</v>
      </c>
      <c r="BD1" s="10">
        <v>2008</v>
      </c>
      <c r="BE1" s="10">
        <v>2009</v>
      </c>
      <c r="BF1" s="10">
        <v>2010</v>
      </c>
      <c r="BG1" s="10">
        <v>2011</v>
      </c>
      <c r="BH1" s="10">
        <v>2012</v>
      </c>
      <c r="BI1" s="10">
        <v>2013</v>
      </c>
      <c r="BJ1" s="10">
        <v>2014</v>
      </c>
      <c r="BK1" s="10">
        <v>2015</v>
      </c>
      <c r="BL1" s="10">
        <v>2016</v>
      </c>
      <c r="BM1" s="10">
        <v>2017</v>
      </c>
      <c r="BN1" s="10">
        <v>2018</v>
      </c>
      <c r="BO1" s="10">
        <v>2019</v>
      </c>
      <c r="BP1" s="10">
        <v>2020</v>
      </c>
      <c r="BQ1" s="10">
        <v>2021</v>
      </c>
      <c r="BR1" s="10">
        <v>2022</v>
      </c>
      <c r="BS1" s="10">
        <v>2023</v>
      </c>
    </row>
    <row r="2" spans="1:71" x14ac:dyDescent="0.25">
      <c r="A2" s="10">
        <v>378.9</v>
      </c>
      <c r="B2" s="10">
        <v>416.7</v>
      </c>
      <c r="C2" s="10">
        <v>433.8</v>
      </c>
      <c r="D2" s="10">
        <v>496</v>
      </c>
      <c r="E2" s="10">
        <v>545.1</v>
      </c>
      <c r="F2" s="10">
        <v>587.1</v>
      </c>
      <c r="G2" s="11">
        <v>741.9</v>
      </c>
      <c r="H2" s="10">
        <v>877.6</v>
      </c>
      <c r="I2" s="11">
        <v>900.1</v>
      </c>
      <c r="J2" s="11">
        <v>811.2</v>
      </c>
      <c r="K2" s="10">
        <v>796</v>
      </c>
      <c r="L2" s="10">
        <v>811.5</v>
      </c>
      <c r="M2" s="10">
        <v>805.6</v>
      </c>
      <c r="N2" s="10">
        <v>822.2</v>
      </c>
      <c r="O2" s="10">
        <v>842</v>
      </c>
      <c r="P2" s="10">
        <v>867.2</v>
      </c>
      <c r="Q2" s="10">
        <v>865.9</v>
      </c>
      <c r="R2" s="10">
        <v>907.3</v>
      </c>
      <c r="S2" s="11">
        <v>936.7</v>
      </c>
      <c r="T2" s="10">
        <v>1007.3</v>
      </c>
      <c r="U2" s="10">
        <v>1034</v>
      </c>
      <c r="V2" s="10">
        <v>1059.0999999999999</v>
      </c>
      <c r="W2" s="10">
        <v>1078.8</v>
      </c>
      <c r="X2" s="11">
        <v>1093.7</v>
      </c>
      <c r="Y2" s="10">
        <v>1118.2</v>
      </c>
      <c r="Z2" s="11">
        <v>1122.9000000000001</v>
      </c>
      <c r="AA2" s="10">
        <v>1181.4000000000001</v>
      </c>
      <c r="AB2" s="10">
        <v>1232.7</v>
      </c>
      <c r="AC2" s="10">
        <v>1275.3</v>
      </c>
      <c r="AD2" s="10">
        <v>1309.4000000000001</v>
      </c>
      <c r="AE2" s="10">
        <v>1356.8</v>
      </c>
      <c r="AF2" s="10">
        <v>1398</v>
      </c>
      <c r="AG2" s="10">
        <v>1440.5</v>
      </c>
      <c r="AH2" s="10">
        <v>1485.3</v>
      </c>
      <c r="AI2" s="10">
        <v>1536</v>
      </c>
      <c r="AJ2" s="10">
        <v>1589.9</v>
      </c>
      <c r="AK2" s="10">
        <v>1646.5</v>
      </c>
      <c r="AL2" s="10">
        <v>1699.2</v>
      </c>
      <c r="AM2" s="10">
        <v>1753.2</v>
      </c>
      <c r="AN2" s="10">
        <v>1809.1</v>
      </c>
      <c r="AO2" s="10">
        <v>1866.2</v>
      </c>
      <c r="AP2" s="10">
        <v>1924.9</v>
      </c>
      <c r="AQ2" s="10">
        <v>1985.9</v>
      </c>
      <c r="AR2" s="10">
        <v>2007.5</v>
      </c>
      <c r="AS2" s="10">
        <v>2021.8</v>
      </c>
      <c r="AT2" s="10">
        <v>2037.4</v>
      </c>
      <c r="AU2" s="10">
        <v>2055.3000000000002</v>
      </c>
      <c r="AV2" s="10">
        <v>1977.4</v>
      </c>
      <c r="AW2" s="10">
        <v>1996.2</v>
      </c>
      <c r="AX2" s="10">
        <v>2004.5</v>
      </c>
      <c r="AY2" s="10">
        <v>2006.3</v>
      </c>
      <c r="AZ2" s="10">
        <v>2014.5</v>
      </c>
      <c r="BA2" s="10">
        <v>2028.4</v>
      </c>
      <c r="BB2" s="10">
        <v>2045.3</v>
      </c>
      <c r="BC2" s="10">
        <v>2061.1</v>
      </c>
      <c r="BD2" s="10">
        <v>2119</v>
      </c>
      <c r="BE2" s="10">
        <v>2123.4</v>
      </c>
      <c r="BF2" s="10">
        <v>2129.6</v>
      </c>
      <c r="BG2" s="10">
        <v>2136.5</v>
      </c>
      <c r="BH2" s="10">
        <v>2118.1999999999998</v>
      </c>
      <c r="BI2" s="10">
        <v>2127.6999999999998</v>
      </c>
      <c r="BJ2" s="10">
        <v>2136.6999999999998</v>
      </c>
      <c r="BK2" s="10">
        <v>2134</v>
      </c>
      <c r="BL2" s="10">
        <v>2115.5</v>
      </c>
      <c r="BM2" s="10">
        <v>2104</v>
      </c>
      <c r="BN2" s="10">
        <v>2111.3000000000002</v>
      </c>
      <c r="BO2" s="10">
        <v>2103.4</v>
      </c>
      <c r="BP2" s="10">
        <v>2080.5</v>
      </c>
      <c r="BQ2" s="10">
        <v>2052.8000000000002</v>
      </c>
      <c r="BR2" s="10">
        <v>2052</v>
      </c>
      <c r="BS2" s="10">
        <v>2055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HLJ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Elbertlu</dc:creator>
  <cp:lastModifiedBy>Admin</cp:lastModifiedBy>
  <dcterms:created xsi:type="dcterms:W3CDTF">2015-06-05T18:19:34Z</dcterms:created>
  <dcterms:modified xsi:type="dcterms:W3CDTF">2025-08-15T01:45:25Z</dcterms:modified>
</cp:coreProperties>
</file>